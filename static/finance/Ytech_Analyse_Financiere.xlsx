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ésumé Exécutif" sheetId="1" state="visible" r:id="rId3"/>
    <sheet name="🌐 Équipements Réseau" sheetId="2" state="visible" r:id="rId4"/>
    <sheet name="🖥️ Serveurs &amp; Infrastructure" sheetId="3" state="visible" r:id="rId5"/>
    <sheet name="📐 Étude &amp; Ingénierie" sheetId="4" state="visible" r:id="rId6"/>
    <sheet name="💰 Récapitulati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<sst xmlns="http://schemas.openxmlformats.org/spreadsheetml/2006/main" count="204" uniqueCount="165">
  <si>
    <t xml:space="preserve">YTECH SOLUTIONS
Analyse Financière — Architecture Réseau Sécurisée d'Entreprise</t>
  </si>
  <si>
    <t xml:space="preserve">Maroc — Estimation des Coûts d'Installation, Main d'Œuvre &amp; Ingénierie  |  Avril 2026</t>
  </si>
  <si>
    <t xml:space="preserve">SYNTHÈSE DES COÛTS</t>
  </si>
  <si>
    <t xml:space="preserve">CATÉGORIE</t>
  </si>
  <si>
    <t xml:space="preserve">ÉQUIPEMENTS</t>
  </si>
  <si>
    <t xml:space="preserve">MAIN D'ŒUVRE</t>
  </si>
  <si>
    <t xml:space="preserve">INGÉNIERIE</t>
  </si>
  <si>
    <t xml:space="preserve">TOTAL</t>
  </si>
  <si>
    <t xml:space="preserve">🌐 Réseau &amp; Connectivité</t>
  </si>
  <si>
    <t xml:space="preserve">🔒 Sécurité Périmétrique</t>
  </si>
  <si>
    <t xml:space="preserve">🖥️ Serveurs &amp; Infrastructure</t>
  </si>
  <si>
    <t xml:space="preserve">📡 DMZ &amp; Proxy</t>
  </si>
  <si>
    <t xml:space="preserve">📊 Monitoring &amp; SIEM</t>
  </si>
  <si>
    <t xml:space="preserve">🏢 Réseau Interne &amp; VLAN</t>
  </si>
  <si>
    <t xml:space="preserve">💰 TOTAL GÉNÉRAL</t>
  </si>
  <si>
    <t xml:space="preserve">⚠️  Notes : Prix indicatifs en MAD TTC basés sur le marché marocain (Avril 2026). Équipements redondants de marques différentes (ex: Cisco + Fortinet, HPE + Dell). TVA 20% incluse. Délai de livraison estimé : 8–12 semaines. La main d'œuvre inclut installation, câblage, configuration et tests.</t>
  </si>
  <si>
    <t xml:space="preserve">Équipements Réseau &amp; Sécurité</t>
  </si>
  <si>
    <t xml:space="preserve">Routeurs · Firewalls · Switches · VPN · Load Balancer — Marques redondantes différenciées</t>
  </si>
  <si>
    <t xml:space="preserve">COMPOSANT / MARQUE</t>
  </si>
  <si>
    <t xml:space="preserve">ZONE</t>
  </si>
  <si>
    <t xml:space="preserve">QTÉ</t>
  </si>
  <si>
    <t xml:space="preserve">PRIX UNIT. (MAD)</t>
  </si>
  <si>
    <t xml:space="preserve">TOTAL ÉQUIP. (MAD)</t>
  </si>
  <si>
    <t xml:space="preserve">MO UNIT. (MAD)</t>
  </si>
  <si>
    <t xml:space="preserve">TOTAL MO (MAD)</t>
  </si>
  <si>
    <t xml:space="preserve">INGÉNIERIE (MAD)</t>
  </si>
  <si>
    <t xml:space="preserve">TOTAL (MAD)</t>
  </si>
  <si>
    <t xml:space="preserve">── ROUTEURS (Marques différentes pour redondance) ──</t>
  </si>
  <si>
    <t xml:space="preserve">Cisco ASR 1001-X Router (Router 1 - Primary ISP)</t>
  </si>
  <si>
    <t xml:space="preserve">Internet / WAN</t>
  </si>
  <si>
    <t xml:space="preserve">MikroTik CCR2004-1G-12S+2XS (Router 2 - Backup ISP)</t>
  </si>
  <si>
    <t xml:space="preserve">── FIREWALLS (HA Cluster — Marques différentes) ──</t>
  </si>
  <si>
    <t xml:space="preserve">OPNsense Business Edition (Deciso DEC750 Appliance) — Firewall 1 (Primary)</t>
  </si>
  <si>
    <t xml:space="preserve">Perimeter Security</t>
  </si>
  <si>
    <t xml:space="preserve">Palo Alto Networks PA-820 (Firewall 2 - Secondary)</t>
  </si>
  <si>
    <t xml:space="preserve">── WEB APPLICATION FIREWALL ──</t>
  </si>
  <si>
    <t xml:space="preserve">F5 BIG-IP i2600 — WAF (Primary)</t>
  </si>
  <si>
    <t xml:space="preserve">DMZ</t>
  </si>
  <si>
    <t xml:space="preserve">── IDS / IPS ──</t>
  </si>
  <si>
    <t xml:space="preserve">Suricata IDS/IPS (Licence + Appliance Dell R350)</t>
  </si>
  <si>
    <t xml:space="preserve">Monitoring Zone</t>
  </si>
  <si>
    <t xml:space="preserve">── PARE-FEU DE SEGMENTATION INTERNE ──</t>
  </si>
  <si>
    <t xml:space="preserve">Check Point 1570 (Internal Segmentation Firewall)</t>
  </si>
  <si>
    <t xml:space="preserve">Core Network</t>
  </si>
  <si>
    <t xml:space="preserve">── VPN GATEWAY ──</t>
  </si>
  <si>
    <t xml:space="preserve">Cisco ASA 5516-X (VPN Gateway)</t>
  </si>
  <si>
    <t xml:space="preserve">── LOAD BALANCER ──</t>
  </si>
  <si>
    <t xml:space="preserve">HAProxy Enterprise Appliance (Load Balancer)</t>
  </si>
  <si>
    <t xml:space="preserve">── CORE SWITCHES (HSRP + LACP) ──</t>
  </si>
  <si>
    <t xml:space="preserve">Cisco Catalyst 9500-24Y4C (Core Switch 1)</t>
  </si>
  <si>
    <t xml:space="preserve">Juniper EX4650-48Y (Core Switch 2 — redondance)</t>
  </si>
  <si>
    <t xml:space="preserve">── ACCESS SWITCHES ──</t>
  </si>
  <si>
    <t xml:space="preserve">Cisco Catalyst 2960X-48FPS-L (Access Switch 1)</t>
  </si>
  <si>
    <t xml:space="preserve">Access Layer</t>
  </si>
  <si>
    <t xml:space="preserve">Cisco Catalyst 2960X-48FPS-L (Access Switch 2)</t>
  </si>
  <si>
    <t xml:space="preserve">Cisco Catalyst 2960X-48FPS-L (Access Switch 3)</t>
  </si>
  <si>
    <t xml:space="preserve">── CÂBLAGE, PATCHS &amp; ACCESSOIRES ──</t>
  </si>
  <si>
    <t xml:space="preserve">Câbles Cat6A STP (bobines + connecteurs) — lot</t>
  </si>
  <si>
    <t xml:space="preserve">Tous</t>
  </si>
  <si>
    <t xml:space="preserve">Baies de brassage 24U + organiseurs — lot</t>
  </si>
  <si>
    <t xml:space="preserve">Salle Serveur</t>
  </si>
  <si>
    <t xml:space="preserve">Onduleurs APC Smart-UPS 3000VA (réseau) — lot</t>
  </si>
  <si>
    <t xml:space="preserve">TOTAL ÉQUIPEMENTS RÉSEAU &amp; SÉCURITÉ</t>
  </si>
  <si>
    <t xml:space="preserve">Serveurs &amp; Infrastructure</t>
  </si>
  <si>
    <t xml:space="preserve">Serveurs HPE ProLiant — Configuration Haute Performance — Même Marque (HPE) + Dell pour backup</t>
  </si>
  <si>
    <t xml:space="preserve">── SERVEURS WEB (DMZ) ──</t>
  </si>
  <si>
    <t xml:space="preserve">HPE ProLiant DL380 Gen11 — Web Server 1 (2×Xeon Gold, 256GB RAM, 4×960GB SSD NVMe)</t>
  </si>
  <si>
    <t xml:space="preserve">HPE ProLiant DL380 Gen11 — Web Server 2 (idem, redondance)</t>
  </si>
  <si>
    <t xml:space="preserve">── SERVEUR BASE DE DONNÉES WEB ──</t>
  </si>
  <si>
    <t xml:space="preserve">HPE ProLiant DL560 Gen11 — Web DB (4×Xeon Gold, 512GB RAM, 8×1.92TB SSD NVMe RAID)</t>
  </si>
  <si>
    <t xml:space="preserve">Licence MySQL Enterprise (3 ans)</t>
  </si>
  <si>
    <t xml:space="preserve">── SERVEURS ZONE INTERNE (HR) ──</t>
  </si>
  <si>
    <t xml:space="preserve">HPE ProLiant DL380 Gen11 — HR App Server (2×Xeon Gold, 256GB RAM)</t>
  </si>
  <si>
    <t xml:space="preserve">Internal Zone</t>
  </si>
  <si>
    <t xml:space="preserve">HPE ProLiant DL380 Gen11 — HR Database Server</t>
  </si>
  <si>
    <t xml:space="preserve">── SERVEUR BACKUP ──</t>
  </si>
  <si>
    <t xml:space="preserve">Dell PowerEdge R760 — Backup Server (2×Xeon Platinum, 256GB RAM, 24×4TB SAS)</t>
  </si>
  <si>
    <t xml:space="preserve">Logiciel Backup Veeam Backup &amp; Replication (Ent+)</t>
  </si>
  <si>
    <t xml:space="preserve">── MONITORING &amp; SIEM ──</t>
  </si>
  <si>
    <t xml:space="preserve">HPE ProLiant DL360 Gen11 — SIEM Server (Wazuh/ELK, 2×Xeon, 128GB, 4×1.92TB SSD)</t>
  </si>
  <si>
    <t xml:space="preserve">HPE ProLiant DL360 Gen11 — IDS/IPS Suricata</t>
  </si>
  <si>
    <t xml:space="preserve">HPE ProLiant DL360 Gen11 — Monitoring Zabbix</t>
  </si>
  <si>
    <t xml:space="preserve">── STOCKAGE RÉSEAU (NAS/SAN) ──</t>
  </si>
  <si>
    <t xml:space="preserve">HPE MSA 2062 SAN Storage (16TB SSD + 32TB HDD)</t>
  </si>
  <si>
    <t xml:space="preserve">── VIRTUALISATION &amp; LICENCES ──</t>
  </si>
  <si>
    <t xml:space="preserve">VMware vSphere 8 — Licence Enterprise Plus (5 sockets)</t>
  </si>
  <si>
    <t xml:space="preserve">Infrastructure</t>
  </si>
  <si>
    <t xml:space="preserve">Windows Server 2022 Datacenter — 3 licences</t>
  </si>
  <si>
    <t xml:space="preserve">── ALIMENTATION &amp; REFROIDISSEMENT ──</t>
  </si>
  <si>
    <t xml:space="preserve">APC Smart-UPS 10kVA (salle serveur)</t>
  </si>
  <si>
    <t xml:space="preserve">Climatisation Précision CRAC 10kW (Uniflair)</t>
  </si>
  <si>
    <t xml:space="preserve">Armoire baie 42U (full équipée, PDU, rails)</t>
  </si>
  <si>
    <t xml:space="preserve">TOTAL SERVEURS &amp; INFRASTRUCTURE</t>
  </si>
  <si>
    <t xml:space="preserve">Étude, Ingénierie &amp; Services Professionnels</t>
  </si>
  <si>
    <t xml:space="preserve">Architecture · Conception · Déploiement · Tests · Formation · Support</t>
  </si>
  <si>
    <t xml:space="preserve">PRESTATION</t>
  </si>
  <si>
    <t xml:space="preserve">DÉTAIL</t>
  </si>
  <si>
    <t xml:space="preserve">JOURS/HOMMES</t>
  </si>
  <si>
    <t xml:space="preserve">TARIF JOUR (MAD)</t>
  </si>
  <si>
    <t xml:space="preserve">── PHASE 1 : ÉTUDE &amp; CONCEPTION ──</t>
  </si>
  <si>
    <t xml:space="preserve">Audit de l'existant &amp; collecte des besoins</t>
  </si>
  <si>
    <t xml:space="preserve">Analyse infrastructure existante</t>
  </si>
  <si>
    <t xml:space="preserve">Conception architecture réseau détaillée</t>
  </si>
  <si>
    <t xml:space="preserve">Schémas Visio/Draw.io, plans d'adressage IP, VLAN</t>
  </si>
  <si>
    <t xml:space="preserve">Plan de sécurité &amp; politique de sécurité (PSI)</t>
  </si>
  <si>
    <t xml:space="preserve">Firewall rules, ACL, IDS/IPS policies</t>
  </si>
  <si>
    <t xml:space="preserve">Étude de dimensionnement &amp; sizing serveurs</t>
  </si>
  <si>
    <t xml:space="preserve">Calcul charge, redondance, scalabilité</t>
  </si>
  <si>
    <t xml:space="preserve">Rédaction du cahier des charges technique</t>
  </si>
  <si>
    <t xml:space="preserve">Documentation complète pour appels d'offres</t>
  </si>
  <si>
    <t xml:space="preserve">── PHASE 2 : DÉPLOIEMENT &amp; INSTALLATION ──</t>
  </si>
  <si>
    <t xml:space="preserve">Chef de projet réseau (coordination)</t>
  </si>
  <si>
    <t xml:space="preserve">Suivi planning, réunions, reporting</t>
  </si>
  <si>
    <t xml:space="preserve">Ingénieur réseau senior (Cisco/Fortinet)</t>
  </si>
  <si>
    <t xml:space="preserve">Configuration routeurs, switches, VLANs</t>
  </si>
  <si>
    <t xml:space="preserve">Ingénieur sécurité (Firewall, VPN, WAF)</t>
  </si>
  <si>
    <t xml:space="preserve">Config FortiGate, PA, WAF, VPN Gateway</t>
  </si>
  <si>
    <t xml:space="preserve">Administrateur systèmes Linux/Windows</t>
  </si>
  <si>
    <t xml:space="preserve">Installation et config serveurs</t>
  </si>
  <si>
    <t xml:space="preserve">Technicien câblage &amp; infrastructure physique</t>
  </si>
  <si>
    <t xml:space="preserve">Câblage baies, labellisation, tests</t>
  </si>
  <si>
    <t xml:space="preserve">── PHASE 3 : TESTS &amp; RECETTE ──</t>
  </si>
  <si>
    <t xml:space="preserve">Tests de performance réseau (benchmarking)</t>
  </si>
  <si>
    <t xml:space="preserve">Iperf3, tests débit, latence, QoS</t>
  </si>
  <si>
    <t xml:space="preserve">Tests de sécurité &amp; pentest interne</t>
  </si>
  <si>
    <t xml:space="preserve">Scan vulnérabilités, tests intrusion</t>
  </si>
  <si>
    <t xml:space="preserve">Tests de basculement HA (Failover tests)</t>
  </si>
  <si>
    <t xml:space="preserve">Simulation pannes, mesure RTO/RPO</t>
  </si>
  <si>
    <t xml:space="preserve">Validation et recette client</t>
  </si>
  <si>
    <t xml:space="preserve">Procès-verbal, corrections, signature</t>
  </si>
  <si>
    <t xml:space="preserve">── PHASE 4 : DOCUMENTATION &amp; FORMATION ──</t>
  </si>
  <si>
    <t xml:space="preserve">Rédaction documentation technique complète</t>
  </si>
  <si>
    <t xml:space="preserve">Plans réseau, runbooks, procédures</t>
  </si>
  <si>
    <t xml:space="preserve">Formation équipe IT client (2 jours)</t>
  </si>
  <si>
    <t xml:space="preserve">Prise en main infrastructure</t>
  </si>
  <si>
    <t xml:space="preserve">Formation sécurité &amp; monitoring</t>
  </si>
  <si>
    <t xml:space="preserve">Wazuh/ELK, Zabbix, réponse incidents</t>
  </si>
  <si>
    <t xml:space="preserve">── PHASE 5 : SUPPORT POST-DÉPLOIEMENT ──</t>
  </si>
  <si>
    <t xml:space="preserve">Support on-site post-déploiement (1 mois)</t>
  </si>
  <si>
    <t xml:space="preserve">Assistance quotidienne 1er mois</t>
  </si>
  <si>
    <t xml:space="preserve">Garantie &amp; maintenance préventive (12 mois)</t>
  </si>
  <si>
    <t xml:space="preserve">Visites trimestrielles + support téléphonique</t>
  </si>
  <si>
    <t xml:space="preserve">TOTAL ÉTUDE &amp; INGÉNIERIE</t>
  </si>
  <si>
    <t xml:space="preserve">Récapitulatif Financier Global</t>
  </si>
  <si>
    <t xml:space="preserve">Budget total du projet — Architecture Réseau Sécurisée Ytech Solutions</t>
  </si>
  <si>
    <t xml:space="preserve">ÉQUIPEMENTS (MAD)</t>
  </si>
  <si>
    <t xml:space="preserve">MAIN D'ŒUVRE (MAD)</t>
  </si>
  <si>
    <t xml:space="preserve">🌐 Réseau &amp; Sécurité Périmétrique</t>
  </si>
  <si>
    <t xml:space="preserve">📐 Étude &amp; Ingénierie (Services Prof.)</t>
  </si>
  <si>
    <t xml:space="preserve">SOUS-TOTAL HORS TAXES (HT)</t>
  </si>
  <si>
    <t xml:space="preserve">TVA (20%)</t>
  </si>
  <si>
    <t xml:space="preserve">Provision pour imprévus / Contingence (10% HT)</t>
  </si>
  <si>
    <t xml:space="preserve">💰 BUDGET TOTAL ESTIMÉ TTC (avec contingence)</t>
  </si>
  <si>
    <t xml:space="preserve">📅  PLANNING INDICATIF</t>
  </si>
  <si>
    <t xml:space="preserve">Phase 1 — Étude &amp; Conception</t>
  </si>
  <si>
    <t xml:space="preserve">2 semaines  </t>
  </si>
  <si>
    <t xml:space="preserve">Phase 2 — Commandes &amp; Livraison équipements</t>
  </si>
  <si>
    <t xml:space="preserve">8–12 semaines  </t>
  </si>
  <si>
    <t xml:space="preserve">Phase 3 — Déploiement &amp; Installation</t>
  </si>
  <si>
    <t xml:space="preserve">4 semaines  </t>
  </si>
  <si>
    <t xml:space="preserve">Phase 4 — Tests &amp; Recette</t>
  </si>
  <si>
    <t xml:space="preserve">Phase 5 — Formation &amp; Documentation</t>
  </si>
  <si>
    <t xml:space="preserve">1 semaine  </t>
  </si>
  <si>
    <t xml:space="preserve">DURÉE TOTALE ESTIMÉE</t>
  </si>
  <si>
    <t xml:space="preserve">17–21 semaines  ≈ 4–5 mois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</si>
</sst>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MAD&quot;;\(#,##0&quot; MAD)&quot;;\-"/>
    <numFmt numFmtId="166" formatCode="@"/>
    <numFmt numFmtId="167" formatCode="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7030A0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3864"/>
      </patternFill>
    </fill>
    <fill>
      <patternFill patternType="solid">
        <fgColor rgb="FFBDD7EE"/>
        <bgColor rgb="FFD6DCE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EAD1DC"/>
        <bgColor rgb="FFD6DCE4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D6DCE4"/>
      </patternFill>
    </fill>
    <fill>
      <patternFill patternType="solid">
        <fgColor rgb="FFD6DCE4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CE4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6" min="3" style="1" width="22"/>
    <col collapsed="false" customWidth="true" hidden="false" outlineLevel="0" max="7" min="7" style="1" width="5"/>
  </cols>
  <sheetData>
    <row r="1" customFormat="false" ht="12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54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</row>
    <row r="6" customFormat="false" ht="21.75" hidden="false" customHeight="true" outlineLevel="0" collapsed="false">
      <c r="A6" s="4" t="s">
        <v>1</v>
      </c>
      <c r="B6" s="4"/>
      <c r="C6" s="4"/>
      <c r="D6" s="4"/>
      <c r="E6" s="4"/>
      <c r="F6" s="4"/>
      <c r="G6" s="4"/>
    </row>
    <row r="7" customFormat="false" ht="13.5" hidden="false" customHeight="true" outlineLevel="0" collapsed="false"/>
    <row r="8" customFormat="false" ht="13.5" hidden="false" customHeight="true" outlineLevel="0" collapsed="false">
      <c r="B8" s="5" t="s">
        <v>2</v>
      </c>
      <c r="C8" s="5"/>
      <c r="D8" s="5"/>
      <c r="E8" s="5"/>
      <c r="F8" s="5"/>
    </row>
    <row r="9" customFormat="false" ht="21.75" hidden="false" customHeight="true" outlineLevel="0" collapsed="false"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</row>
    <row r="10" customFormat="false" ht="21.75" hidden="false" customHeight="true" outlineLevel="0" collapsed="false">
      <c r="B10" s="7" t="s">
        <v>8</v>
      </c>
      <c r="C10" s="8" t="n">
        <f aca="false">'🌐 Équipements Réseau'!E34</f>
        <v>771500</v>
      </c>
      <c r="D10" s="8" t="n">
        <f aca="false">'🌐 Équipements Réseau'!G34</f>
        <v>63500</v>
      </c>
      <c r="E10" s="8" t="n">
        <f aca="false">'🌐 Équipements Réseau'!I34</f>
        <v>101500</v>
      </c>
      <c r="F10" s="9" t="n">
        <f aca="false">C10+D10+E10</f>
        <v>936500</v>
      </c>
    </row>
    <row r="11" customFormat="false" ht="21.75" hidden="false" customHeight="true" outlineLevel="0" collapsed="false">
      <c r="B11" s="10" t="s">
        <v>9</v>
      </c>
      <c r="C11" s="11" t="n">
        <f aca="false">'🖥️ Serveurs &amp; Infrastructure'!E32</f>
        <v>1257000</v>
      </c>
      <c r="D11" s="11" t="n">
        <f aca="false">'🖥️ Serveurs &amp; Infrastructure'!G32</f>
        <v>75000</v>
      </c>
      <c r="E11" s="11" t="n">
        <f aca="false">'🖥️ Serveurs &amp; Infrastructure'!I32</f>
        <v>159000</v>
      </c>
      <c r="F11" s="12" t="n">
        <f aca="false">C11+D11+E11</f>
        <v>1491000</v>
      </c>
    </row>
    <row r="12" customFormat="false" ht="21.75" hidden="false" customHeight="true" outlineLevel="0" collapsed="false">
      <c r="B12" s="13" t="s">
        <v>10</v>
      </c>
      <c r="C12" s="14" t="n">
        <v>0</v>
      </c>
      <c r="D12" s="14" t="n">
        <v>0</v>
      </c>
      <c r="E12" s="14" t="n">
        <f aca="false">'📐 Étude &amp; Ingénierie'!F31</f>
        <v>658000</v>
      </c>
      <c r="F12" s="15" t="n">
        <f aca="false">C12+D12+E12</f>
        <v>658000</v>
      </c>
    </row>
    <row r="13" customFormat="false" ht="21.75" hidden="false" customHeight="true" outlineLevel="0" collapsed="false">
      <c r="B13" s="16" t="s">
        <v>11</v>
      </c>
      <c r="C13" s="17" t="n">
        <v>0</v>
      </c>
      <c r="D13" s="17" t="n">
        <v>0</v>
      </c>
      <c r="E13" s="17" t="n">
        <v>0</v>
      </c>
      <c r="F13" s="18" t="n">
        <f aca="false">C13+D13+E13</f>
        <v>0</v>
      </c>
    </row>
    <row r="14" customFormat="false" ht="21.75" hidden="false" customHeight="true" outlineLevel="0" collapsed="false">
      <c r="B14" s="19" t="s">
        <v>12</v>
      </c>
      <c r="C14" s="20" t="n">
        <v>0</v>
      </c>
      <c r="D14" s="20" t="n">
        <v>0</v>
      </c>
      <c r="E14" s="20" t="n">
        <v>0</v>
      </c>
      <c r="F14" s="21" t="n">
        <f aca="false">C14+D14+E14</f>
        <v>0</v>
      </c>
    </row>
    <row r="15" customFormat="false" ht="21.75" hidden="false" customHeight="true" outlineLevel="0" collapsed="false">
      <c r="B15" s="22" t="s">
        <v>13</v>
      </c>
      <c r="C15" s="23" t="n">
        <v>0</v>
      </c>
      <c r="D15" s="23" t="n">
        <v>0</v>
      </c>
      <c r="E15" s="23" t="n">
        <v>0</v>
      </c>
      <c r="F15" s="24" t="n">
        <f aca="false">C15+D15+E15</f>
        <v>0</v>
      </c>
    </row>
    <row r="16" customFormat="false" ht="27.75" hidden="false" customHeight="true" outlineLevel="0" collapsed="false">
      <c r="B16" s="25" t="s">
        <v>14</v>
      </c>
      <c r="C16" s="26" t="n">
        <f aca="false">SUM(C10:C15)</f>
        <v>2028500</v>
      </c>
      <c r="D16" s="26" t="n">
        <f aca="false">SUM(D10:D15)</f>
        <v>138500</v>
      </c>
      <c r="E16" s="26" t="n">
        <f aca="false">SUM(E10:E15)</f>
        <v>918500</v>
      </c>
      <c r="F16" s="26" t="n">
        <f aca="false">SUM(F10:F15)</f>
        <v>3085500</v>
      </c>
    </row>
    <row r="18" customFormat="false" ht="39.75" hidden="false" customHeight="true" outlineLevel="0" collapsed="false">
      <c r="B18" s="27" t="s">
        <v>15</v>
      </c>
      <c r="C18" s="27"/>
      <c r="D18" s="27"/>
      <c r="E18" s="27"/>
      <c r="F18" s="27"/>
    </row>
  </sheetData>
  <mergeCells count="5">
    <mergeCell ref="A1:G1"/>
    <mergeCell ref="A2:G5"/>
    <mergeCell ref="A6:G6"/>
    <mergeCell ref="B8:F8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8" min="5" style="1" width="16"/>
    <col collapsed="false" customWidth="true" hidden="false" outlineLevel="0" max="9" min="9" style="1" width="18"/>
    <col collapsed="false" customWidth="true" hidden="false" outlineLevel="0" max="10" min="10" style="1" width="4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28" t="s">
        <v>16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15" hidden="false" customHeight="true" outlineLevel="0" collapsed="false">
      <c r="A3" s="28"/>
      <c r="B3" s="28"/>
      <c r="C3" s="28"/>
      <c r="D3" s="28"/>
      <c r="E3" s="28"/>
      <c r="F3" s="28"/>
      <c r="G3" s="28"/>
      <c r="H3" s="28"/>
      <c r="I3" s="28"/>
      <c r="J3" s="28"/>
    </row>
    <row r="4" customFormat="false" ht="18" hidden="false" customHeight="true" outlineLevel="0" collapsed="false">
      <c r="A4" s="29" t="s">
        <v>17</v>
      </c>
      <c r="B4" s="29"/>
      <c r="C4" s="29"/>
      <c r="D4" s="29"/>
      <c r="E4" s="29"/>
      <c r="F4" s="29"/>
      <c r="G4" s="29"/>
      <c r="H4" s="29"/>
      <c r="I4" s="29"/>
      <c r="J4" s="29"/>
    </row>
    <row r="5" customFormat="false" ht="7.5" hidden="false" customHeight="true" outlineLevel="0" collapsed="false"/>
    <row r="6" customFormat="false" ht="30" hidden="false" customHeight="true" outlineLevel="0" collapsed="false">
      <c r="B6" s="30" t="s">
        <v>18</v>
      </c>
      <c r="C6" s="30" t="s">
        <v>19</v>
      </c>
      <c r="D6" s="30" t="s">
        <v>20</v>
      </c>
      <c r="E6" s="30" t="s">
        <v>21</v>
      </c>
      <c r="F6" s="30" t="s">
        <v>22</v>
      </c>
      <c r="G6" s="30" t="s">
        <v>23</v>
      </c>
      <c r="H6" s="30" t="s">
        <v>24</v>
      </c>
      <c r="I6" s="30" t="s">
        <v>25</v>
      </c>
      <c r="J6" s="30" t="s">
        <v>26</v>
      </c>
    </row>
    <row r="7" customFormat="false" ht="19.5" hidden="false" customHeight="true" outlineLevel="0" collapsed="false">
      <c r="B7" s="31" t="s">
        <v>27</v>
      </c>
      <c r="C7" s="31"/>
      <c r="D7" s="31"/>
      <c r="E7" s="31"/>
      <c r="F7" s="31"/>
      <c r="G7" s="31"/>
      <c r="H7" s="31"/>
      <c r="I7" s="31"/>
      <c r="J7" s="31"/>
    </row>
    <row r="8" customFormat="false" ht="19.5" hidden="false" customHeight="true" outlineLevel="0" collapsed="false">
      <c r="B8" s="32" t="s">
        <v>28</v>
      </c>
      <c r="C8" s="33" t="s">
        <v>29</v>
      </c>
      <c r="D8" s="34" t="n">
        <v>1</v>
      </c>
      <c r="E8" s="35" t="n">
        <v>85000</v>
      </c>
      <c r="F8" s="36" t="n">
        <f aca="false">D8*E8</f>
        <v>85000</v>
      </c>
      <c r="G8" s="35" t="n">
        <v>4500</v>
      </c>
      <c r="H8" s="36" t="n">
        <f aca="false">D8*G8</f>
        <v>4500</v>
      </c>
      <c r="I8" s="35" t="n">
        <v>8000</v>
      </c>
      <c r="J8" s="37" t="n">
        <f aca="false">F8+H8+I8</f>
        <v>97500</v>
      </c>
    </row>
    <row r="9" customFormat="false" ht="19.5" hidden="false" customHeight="true" outlineLevel="0" collapsed="false">
      <c r="B9" s="32" t="s">
        <v>30</v>
      </c>
      <c r="C9" s="33" t="s">
        <v>29</v>
      </c>
      <c r="D9" s="34" t="n">
        <v>1</v>
      </c>
      <c r="E9" s="35" t="n">
        <v>18000</v>
      </c>
      <c r="F9" s="36" t="n">
        <f aca="false">D9*E9</f>
        <v>18000</v>
      </c>
      <c r="G9" s="35" t="n">
        <v>3500</v>
      </c>
      <c r="H9" s="36" t="n">
        <f aca="false">D9*G9</f>
        <v>3500</v>
      </c>
      <c r="I9" s="35" t="n">
        <v>6000</v>
      </c>
      <c r="J9" s="37" t="n">
        <f aca="false">F9+H9+I9</f>
        <v>27500</v>
      </c>
    </row>
    <row r="10" customFormat="false" ht="19.5" hidden="false" customHeight="true" outlineLevel="0" collapsed="false">
      <c r="B10" s="31" t="s">
        <v>31</v>
      </c>
      <c r="C10" s="31"/>
      <c r="D10" s="31"/>
      <c r="E10" s="31"/>
      <c r="F10" s="31"/>
      <c r="G10" s="31"/>
      <c r="H10" s="31"/>
      <c r="I10" s="31"/>
      <c r="J10" s="31"/>
    </row>
    <row r="11" customFormat="false" ht="19.5" hidden="false" customHeight="true" outlineLevel="0" collapsed="false">
      <c r="B11" s="38" t="s">
        <v>32</v>
      </c>
      <c r="C11" s="39" t="s">
        <v>33</v>
      </c>
      <c r="D11" s="40" t="n">
        <v>1</v>
      </c>
      <c r="E11" s="41" t="n">
        <v>21000</v>
      </c>
      <c r="F11" s="42" t="n">
        <f aca="false">D11*E11</f>
        <v>21000</v>
      </c>
      <c r="G11" s="41" t="n">
        <v>5000</v>
      </c>
      <c r="H11" s="42" t="n">
        <f aca="false">D11*G11</f>
        <v>5000</v>
      </c>
      <c r="I11" s="41" t="n">
        <v>8000</v>
      </c>
      <c r="J11" s="43" t="n">
        <f aca="false">F11+H11+I11</f>
        <v>34000</v>
      </c>
    </row>
    <row r="12" customFormat="false" ht="19.5" hidden="false" customHeight="true" outlineLevel="0" collapsed="false">
      <c r="B12" s="38" t="s">
        <v>34</v>
      </c>
      <c r="C12" s="39" t="s">
        <v>33</v>
      </c>
      <c r="D12" s="40" t="n">
        <v>1</v>
      </c>
      <c r="E12" s="41" t="n">
        <v>110000</v>
      </c>
      <c r="F12" s="42" t="n">
        <f aca="false">D12*E12</f>
        <v>110000</v>
      </c>
      <c r="G12" s="41" t="n">
        <v>5000</v>
      </c>
      <c r="H12" s="42" t="n">
        <f aca="false">D12*G12</f>
        <v>5000</v>
      </c>
      <c r="I12" s="41" t="n">
        <v>12000</v>
      </c>
      <c r="J12" s="43" t="n">
        <f aca="false">F12+H12+I12</f>
        <v>127000</v>
      </c>
    </row>
    <row r="13" customFormat="false" ht="19.5" hidden="false" customHeight="true" outlineLevel="0" collapsed="false">
      <c r="B13" s="31" t="s">
        <v>35</v>
      </c>
      <c r="C13" s="31"/>
      <c r="D13" s="31"/>
      <c r="E13" s="31"/>
      <c r="F13" s="31"/>
      <c r="G13" s="31"/>
      <c r="H13" s="31"/>
      <c r="I13" s="31"/>
      <c r="J13" s="31"/>
    </row>
    <row r="14" customFormat="false" ht="19.5" hidden="false" customHeight="true" outlineLevel="0" collapsed="false">
      <c r="B14" s="44" t="s">
        <v>36</v>
      </c>
      <c r="C14" s="45" t="s">
        <v>37</v>
      </c>
      <c r="D14" s="46" t="n">
        <v>1</v>
      </c>
      <c r="E14" s="47" t="n">
        <v>120000</v>
      </c>
      <c r="F14" s="48" t="n">
        <f aca="false">D14*E14</f>
        <v>120000</v>
      </c>
      <c r="G14" s="47" t="n">
        <v>6000</v>
      </c>
      <c r="H14" s="48" t="n">
        <f aca="false">D14*G14</f>
        <v>6000</v>
      </c>
      <c r="I14" s="47" t="n">
        <v>15000</v>
      </c>
      <c r="J14" s="49" t="n">
        <f aca="false">F14+H14+I14</f>
        <v>141000</v>
      </c>
    </row>
    <row r="15" customFormat="false" ht="19.5" hidden="false" customHeight="true" outlineLevel="0" collapsed="false">
      <c r="B15" s="31" t="s">
        <v>38</v>
      </c>
      <c r="C15" s="31"/>
      <c r="D15" s="31"/>
      <c r="E15" s="31"/>
      <c r="F15" s="31"/>
      <c r="G15" s="31"/>
      <c r="H15" s="31"/>
      <c r="I15" s="31"/>
      <c r="J15" s="31"/>
    </row>
    <row r="16" customFormat="false" ht="19.5" hidden="false" customHeight="true" outlineLevel="0" collapsed="false">
      <c r="B16" s="50" t="s">
        <v>39</v>
      </c>
      <c r="C16" s="51" t="s">
        <v>40</v>
      </c>
      <c r="D16" s="52" t="n">
        <v>1</v>
      </c>
      <c r="E16" s="53" t="n">
        <v>28000</v>
      </c>
      <c r="F16" s="54" t="n">
        <f aca="false">D16*E16</f>
        <v>28000</v>
      </c>
      <c r="G16" s="53" t="n">
        <v>3000</v>
      </c>
      <c r="H16" s="54" t="n">
        <f aca="false">D16*G16</f>
        <v>3000</v>
      </c>
      <c r="I16" s="53" t="n">
        <v>5000</v>
      </c>
      <c r="J16" s="55" t="n">
        <f aca="false">F16+H16+I16</f>
        <v>36000</v>
      </c>
    </row>
    <row r="17" customFormat="false" ht="19.5" hidden="false" customHeight="true" outlineLevel="0" collapsed="false">
      <c r="B17" s="31" t="s">
        <v>41</v>
      </c>
      <c r="C17" s="31"/>
      <c r="D17" s="31"/>
      <c r="E17" s="31"/>
      <c r="F17" s="31"/>
      <c r="G17" s="31"/>
      <c r="H17" s="31"/>
      <c r="I17" s="31"/>
      <c r="J17" s="31"/>
    </row>
    <row r="18" customFormat="false" ht="19.5" hidden="false" customHeight="true" outlineLevel="0" collapsed="false">
      <c r="B18" s="56" t="s">
        <v>42</v>
      </c>
      <c r="C18" s="57" t="s">
        <v>43</v>
      </c>
      <c r="D18" s="58" t="n">
        <v>1</v>
      </c>
      <c r="E18" s="59" t="n">
        <v>45000</v>
      </c>
      <c r="F18" s="60" t="n">
        <f aca="false">D18*E18</f>
        <v>45000</v>
      </c>
      <c r="G18" s="59" t="n">
        <v>3500</v>
      </c>
      <c r="H18" s="60" t="n">
        <f aca="false">D18*G18</f>
        <v>3500</v>
      </c>
      <c r="I18" s="59" t="n">
        <v>7000</v>
      </c>
      <c r="J18" s="61" t="n">
        <f aca="false">F18+H18+I18</f>
        <v>55500</v>
      </c>
    </row>
    <row r="19" customFormat="false" ht="19.5" hidden="false" customHeight="true" outlineLevel="0" collapsed="false">
      <c r="B19" s="31" t="s">
        <v>44</v>
      </c>
      <c r="C19" s="31"/>
      <c r="D19" s="31"/>
      <c r="E19" s="31"/>
      <c r="F19" s="31"/>
      <c r="G19" s="31"/>
      <c r="H19" s="31"/>
      <c r="I19" s="31"/>
      <c r="J19" s="31"/>
    </row>
    <row r="20" customFormat="false" ht="19.5" hidden="false" customHeight="true" outlineLevel="0" collapsed="false">
      <c r="B20" s="62" t="s">
        <v>45</v>
      </c>
      <c r="C20" s="63" t="s">
        <v>33</v>
      </c>
      <c r="D20" s="64" t="n">
        <v>1</v>
      </c>
      <c r="E20" s="65" t="n">
        <v>55000</v>
      </c>
      <c r="F20" s="66" t="n">
        <f aca="false">D20*E20</f>
        <v>55000</v>
      </c>
      <c r="G20" s="65" t="n">
        <v>4000</v>
      </c>
      <c r="H20" s="66" t="n">
        <f aca="false">D20*G20</f>
        <v>4000</v>
      </c>
      <c r="I20" s="65" t="n">
        <v>8000</v>
      </c>
      <c r="J20" s="67" t="n">
        <f aca="false">F20+H20+I20</f>
        <v>67000</v>
      </c>
    </row>
    <row r="21" customFormat="false" ht="19.5" hidden="false" customHeight="true" outlineLevel="0" collapsed="false">
      <c r="B21" s="31" t="s">
        <v>46</v>
      </c>
      <c r="C21" s="31"/>
      <c r="D21" s="31"/>
      <c r="E21" s="31"/>
      <c r="F21" s="31"/>
      <c r="G21" s="31"/>
      <c r="H21" s="31"/>
      <c r="I21" s="31"/>
      <c r="J21" s="31"/>
    </row>
    <row r="22" customFormat="false" ht="19.5" hidden="false" customHeight="true" outlineLevel="0" collapsed="false">
      <c r="B22" s="32" t="s">
        <v>47</v>
      </c>
      <c r="C22" s="33" t="s">
        <v>37</v>
      </c>
      <c r="D22" s="34" t="n">
        <v>1</v>
      </c>
      <c r="E22" s="35" t="n">
        <v>35000</v>
      </c>
      <c r="F22" s="36" t="n">
        <f aca="false">D22*E22</f>
        <v>35000</v>
      </c>
      <c r="G22" s="35" t="n">
        <v>3000</v>
      </c>
      <c r="H22" s="36" t="n">
        <f aca="false">D22*G22</f>
        <v>3000</v>
      </c>
      <c r="I22" s="35" t="n">
        <v>6000</v>
      </c>
      <c r="J22" s="37" t="n">
        <f aca="false">F22+H22+I22</f>
        <v>44000</v>
      </c>
    </row>
    <row r="23" customFormat="false" ht="19.5" hidden="false" customHeight="true" outlineLevel="0" collapsed="false">
      <c r="B23" s="31" t="s">
        <v>48</v>
      </c>
      <c r="C23" s="31"/>
      <c r="D23" s="31"/>
      <c r="E23" s="31"/>
      <c r="F23" s="31"/>
      <c r="G23" s="31"/>
      <c r="H23" s="31"/>
      <c r="I23" s="31"/>
      <c r="J23" s="31"/>
    </row>
    <row r="24" customFormat="false" ht="19.5" hidden="false" customHeight="true" outlineLevel="0" collapsed="false">
      <c r="B24" s="38" t="s">
        <v>49</v>
      </c>
      <c r="C24" s="39" t="s">
        <v>43</v>
      </c>
      <c r="D24" s="40" t="n">
        <v>1</v>
      </c>
      <c r="E24" s="41" t="n">
        <v>75000</v>
      </c>
      <c r="F24" s="42" t="n">
        <f aca="false">D24*E24</f>
        <v>75000</v>
      </c>
      <c r="G24" s="41" t="n">
        <v>4000</v>
      </c>
      <c r="H24" s="42" t="n">
        <f aca="false">D24*G24</f>
        <v>4000</v>
      </c>
      <c r="I24" s="41" t="n">
        <v>8000</v>
      </c>
      <c r="J24" s="43" t="n">
        <f aca="false">F24+H24+I24</f>
        <v>87000</v>
      </c>
    </row>
    <row r="25" customFormat="false" ht="19.5" hidden="false" customHeight="true" outlineLevel="0" collapsed="false">
      <c r="B25" s="38" t="s">
        <v>50</v>
      </c>
      <c r="C25" s="39" t="s">
        <v>43</v>
      </c>
      <c r="D25" s="40" t="n">
        <v>1</v>
      </c>
      <c r="E25" s="41" t="n">
        <v>78000</v>
      </c>
      <c r="F25" s="42" t="n">
        <f aca="false">D25*E25</f>
        <v>78000</v>
      </c>
      <c r="G25" s="41" t="n">
        <v>4000</v>
      </c>
      <c r="H25" s="42" t="n">
        <f aca="false">D25*G25</f>
        <v>4000</v>
      </c>
      <c r="I25" s="41" t="n">
        <v>8000</v>
      </c>
      <c r="J25" s="43" t="n">
        <f aca="false">F25+H25+I25</f>
        <v>90000</v>
      </c>
    </row>
    <row r="26" customFormat="false" ht="19.5" hidden="false" customHeight="true" outlineLevel="0" collapsed="false">
      <c r="B26" s="31" t="s">
        <v>51</v>
      </c>
      <c r="C26" s="31"/>
      <c r="D26" s="31"/>
      <c r="E26" s="31"/>
      <c r="F26" s="31"/>
      <c r="G26" s="31"/>
      <c r="H26" s="31"/>
      <c r="I26" s="31"/>
      <c r="J26" s="31"/>
    </row>
    <row r="27" customFormat="false" ht="19.5" hidden="false" customHeight="true" outlineLevel="0" collapsed="false">
      <c r="B27" s="44" t="s">
        <v>52</v>
      </c>
      <c r="C27" s="45" t="s">
        <v>53</v>
      </c>
      <c r="D27" s="46" t="n">
        <v>1</v>
      </c>
      <c r="E27" s="47" t="n">
        <v>22000</v>
      </c>
      <c r="F27" s="48" t="n">
        <f aca="false">D27*E27</f>
        <v>22000</v>
      </c>
      <c r="G27" s="47" t="n">
        <v>2500</v>
      </c>
      <c r="H27" s="48" t="n">
        <f aca="false">D27*G27</f>
        <v>2500</v>
      </c>
      <c r="I27" s="47" t="n">
        <v>3500</v>
      </c>
      <c r="J27" s="49" t="n">
        <f aca="false">F27+H27+I27</f>
        <v>28000</v>
      </c>
    </row>
    <row r="28" customFormat="false" ht="19.5" hidden="false" customHeight="true" outlineLevel="0" collapsed="false">
      <c r="B28" s="44" t="s">
        <v>54</v>
      </c>
      <c r="C28" s="45" t="s">
        <v>53</v>
      </c>
      <c r="D28" s="46" t="n">
        <v>1</v>
      </c>
      <c r="E28" s="47" t="n">
        <v>22000</v>
      </c>
      <c r="F28" s="48" t="n">
        <f aca="false">D28*E28</f>
        <v>22000</v>
      </c>
      <c r="G28" s="47" t="n">
        <v>2500</v>
      </c>
      <c r="H28" s="48" t="n">
        <f aca="false">D28*G28</f>
        <v>2500</v>
      </c>
      <c r="I28" s="47" t="n">
        <v>3500</v>
      </c>
      <c r="J28" s="49" t="n">
        <f aca="false">F28+H28+I28</f>
        <v>28000</v>
      </c>
    </row>
    <row r="29" customFormat="false" ht="19.5" hidden="false" customHeight="true" outlineLevel="0" collapsed="false">
      <c r="B29" s="44" t="s">
        <v>55</v>
      </c>
      <c r="C29" s="45" t="s">
        <v>53</v>
      </c>
      <c r="D29" s="46" t="n">
        <v>1</v>
      </c>
      <c r="E29" s="47" t="n">
        <v>22000</v>
      </c>
      <c r="F29" s="48" t="n">
        <f aca="false">D29*E29</f>
        <v>22000</v>
      </c>
      <c r="G29" s="47" t="n">
        <v>2500</v>
      </c>
      <c r="H29" s="48" t="n">
        <f aca="false">D29*G29</f>
        <v>2500</v>
      </c>
      <c r="I29" s="47" t="n">
        <v>3500</v>
      </c>
      <c r="J29" s="49" t="n">
        <f aca="false">F29+H29+I29</f>
        <v>28000</v>
      </c>
    </row>
    <row r="30" customFormat="false" ht="19.5" hidden="false" customHeight="true" outlineLevel="0" collapsed="false">
      <c r="B30" s="31" t="s">
        <v>56</v>
      </c>
      <c r="C30" s="31"/>
      <c r="D30" s="31"/>
      <c r="E30" s="31"/>
      <c r="F30" s="31"/>
      <c r="G30" s="31"/>
      <c r="H30" s="31"/>
      <c r="I30" s="31"/>
      <c r="J30" s="31"/>
    </row>
    <row r="31" customFormat="false" ht="19.5" hidden="false" customHeight="true" outlineLevel="0" collapsed="false">
      <c r="B31" s="50" t="s">
        <v>57</v>
      </c>
      <c r="C31" s="51" t="s">
        <v>58</v>
      </c>
      <c r="D31" s="52" t="n">
        <v>1</v>
      </c>
      <c r="E31" s="53" t="n">
        <v>18000</v>
      </c>
      <c r="F31" s="54" t="n">
        <f aca="false">D31*E31</f>
        <v>18000</v>
      </c>
      <c r="G31" s="53" t="n">
        <v>8000</v>
      </c>
      <c r="H31" s="54" t="n">
        <f aca="false">D31*G31</f>
        <v>8000</v>
      </c>
      <c r="I31" s="53" t="n">
        <v>0</v>
      </c>
      <c r="J31" s="55" t="n">
        <f aca="false">F31+H31+I31</f>
        <v>26000</v>
      </c>
    </row>
    <row r="32" customFormat="false" ht="19.5" hidden="false" customHeight="true" outlineLevel="0" collapsed="false">
      <c r="B32" s="50" t="s">
        <v>59</v>
      </c>
      <c r="C32" s="51" t="s">
        <v>60</v>
      </c>
      <c r="D32" s="52" t="n">
        <v>2</v>
      </c>
      <c r="E32" s="53" t="n">
        <v>5500</v>
      </c>
      <c r="F32" s="54" t="n">
        <f aca="false">D32*E32</f>
        <v>11000</v>
      </c>
      <c r="G32" s="53" t="n">
        <v>1500</v>
      </c>
      <c r="H32" s="54" t="n">
        <f aca="false">D32*G32</f>
        <v>3000</v>
      </c>
      <c r="I32" s="53" t="n">
        <v>0</v>
      </c>
      <c r="J32" s="55" t="n">
        <f aca="false">F32+H32+I32</f>
        <v>14000</v>
      </c>
    </row>
    <row r="33" customFormat="false" ht="19.5" hidden="false" customHeight="true" outlineLevel="0" collapsed="false">
      <c r="B33" s="50" t="s">
        <v>61</v>
      </c>
      <c r="C33" s="51" t="s">
        <v>60</v>
      </c>
      <c r="D33" s="52" t="n">
        <v>2</v>
      </c>
      <c r="E33" s="53" t="n">
        <v>12000</v>
      </c>
      <c r="F33" s="54" t="n">
        <f aca="false">D33*E33</f>
        <v>24000</v>
      </c>
      <c r="G33" s="53" t="n">
        <v>1000</v>
      </c>
      <c r="H33" s="54" t="n">
        <f aca="false">D33*G33</f>
        <v>2000</v>
      </c>
      <c r="I33" s="53" t="n">
        <v>0</v>
      </c>
      <c r="J33" s="55" t="n">
        <f aca="false">F33+H33+I33</f>
        <v>26000</v>
      </c>
    </row>
    <row r="34" customFormat="false" ht="24.75" hidden="false" customHeight="true" outlineLevel="0" collapsed="false">
      <c r="B34" s="68" t="s">
        <v>62</v>
      </c>
      <c r="C34" s="68"/>
      <c r="D34" s="68"/>
      <c r="E34" s="69" t="n">
        <f aca="false">SUM(E8:E33)</f>
        <v>771500</v>
      </c>
      <c r="G34" s="69" t="n">
        <f aca="false">SUM(G8:G33)</f>
        <v>63500</v>
      </c>
      <c r="H34" s="69" t="n">
        <f aca="false">SUM(H8:H33)</f>
        <v>66000</v>
      </c>
      <c r="I34" s="69" t="n">
        <f aca="false">SUM(I8:I33)</f>
        <v>101500</v>
      </c>
      <c r="J34" s="69" t="n">
        <f aca="false">SUM(J8:J33)</f>
        <v>956500</v>
      </c>
    </row>
  </sheetData>
  <mergeCells count="14">
    <mergeCell ref="A1:J1"/>
    <mergeCell ref="A2:J3"/>
    <mergeCell ref="A4:J4"/>
    <mergeCell ref="B7:J7"/>
    <mergeCell ref="B10:J10"/>
    <mergeCell ref="B13:J13"/>
    <mergeCell ref="B15:J15"/>
    <mergeCell ref="B17:J17"/>
    <mergeCell ref="B19:J19"/>
    <mergeCell ref="B21:J21"/>
    <mergeCell ref="B23:J23"/>
    <mergeCell ref="B26:J26"/>
    <mergeCell ref="B30:J30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8" min="5" style="1" width="16"/>
    <col collapsed="false" customWidth="true" hidden="false" outlineLevel="0" max="9" min="9" style="1" width="18"/>
    <col collapsed="false" customWidth="true" hidden="false" outlineLevel="0" max="10" min="10" style="1" width="4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28" t="s">
        <v>63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15" hidden="false" customHeight="true" outlineLevel="0" collapsed="false">
      <c r="A3" s="28"/>
      <c r="B3" s="28"/>
      <c r="C3" s="28"/>
      <c r="D3" s="28"/>
      <c r="E3" s="28"/>
      <c r="F3" s="28"/>
      <c r="G3" s="28"/>
      <c r="H3" s="28"/>
      <c r="I3" s="28"/>
      <c r="J3" s="28"/>
    </row>
    <row r="4" customFormat="false" ht="18" hidden="false" customHeight="true" outlineLevel="0" collapsed="false">
      <c r="A4" s="29" t="s">
        <v>64</v>
      </c>
      <c r="B4" s="29"/>
      <c r="C4" s="29"/>
      <c r="D4" s="29"/>
      <c r="E4" s="29"/>
      <c r="F4" s="29"/>
      <c r="G4" s="29"/>
      <c r="H4" s="29"/>
      <c r="I4" s="29"/>
      <c r="J4" s="29"/>
    </row>
    <row r="5" customFormat="false" ht="7.5" hidden="false" customHeight="true" outlineLevel="0" collapsed="false"/>
    <row r="6" customFormat="false" ht="30" hidden="false" customHeight="true" outlineLevel="0" collapsed="false">
      <c r="B6" s="30" t="s">
        <v>18</v>
      </c>
      <c r="C6" s="30" t="s">
        <v>19</v>
      </c>
      <c r="D6" s="30" t="s">
        <v>20</v>
      </c>
      <c r="E6" s="30" t="s">
        <v>21</v>
      </c>
      <c r="F6" s="30" t="s">
        <v>22</v>
      </c>
      <c r="G6" s="30" t="s">
        <v>23</v>
      </c>
      <c r="H6" s="30" t="s">
        <v>24</v>
      </c>
      <c r="I6" s="30" t="s">
        <v>25</v>
      </c>
      <c r="J6" s="30" t="s">
        <v>26</v>
      </c>
    </row>
    <row r="7" customFormat="false" ht="21.75" hidden="false" customHeight="true" outlineLevel="0" collapsed="false">
      <c r="B7" s="31" t="s">
        <v>65</v>
      </c>
      <c r="C7" s="31"/>
      <c r="D7" s="31"/>
      <c r="E7" s="31"/>
      <c r="F7" s="31"/>
      <c r="G7" s="31"/>
      <c r="H7" s="31"/>
      <c r="I7" s="31"/>
      <c r="J7" s="31"/>
    </row>
    <row r="8" customFormat="false" ht="21.75" hidden="false" customHeight="true" outlineLevel="0" collapsed="false">
      <c r="B8" s="32" t="s">
        <v>66</v>
      </c>
      <c r="C8" s="33" t="s">
        <v>37</v>
      </c>
      <c r="D8" s="34" t="n">
        <v>1</v>
      </c>
      <c r="E8" s="35" t="n">
        <v>85000</v>
      </c>
      <c r="F8" s="36" t="n">
        <f aca="false">D8*E8</f>
        <v>85000</v>
      </c>
      <c r="G8" s="35" t="n">
        <v>6000</v>
      </c>
      <c r="H8" s="36" t="n">
        <f aca="false">D8*G8</f>
        <v>6000</v>
      </c>
      <c r="I8" s="35" t="n">
        <v>12000</v>
      </c>
      <c r="J8" s="37" t="n">
        <f aca="false">F8+H8+I8</f>
        <v>103000</v>
      </c>
    </row>
    <row r="9" customFormat="false" ht="21.75" hidden="false" customHeight="true" outlineLevel="0" collapsed="false">
      <c r="B9" s="32" t="s">
        <v>67</v>
      </c>
      <c r="C9" s="33" t="s">
        <v>37</v>
      </c>
      <c r="D9" s="34" t="n">
        <v>1</v>
      </c>
      <c r="E9" s="35" t="n">
        <v>85000</v>
      </c>
      <c r="F9" s="36" t="n">
        <f aca="false">D9*E9</f>
        <v>85000</v>
      </c>
      <c r="G9" s="35" t="n">
        <v>6000</v>
      </c>
      <c r="H9" s="36" t="n">
        <f aca="false">D9*G9</f>
        <v>6000</v>
      </c>
      <c r="I9" s="35" t="n">
        <v>12000</v>
      </c>
      <c r="J9" s="37" t="n">
        <f aca="false">F9+H9+I9</f>
        <v>103000</v>
      </c>
    </row>
    <row r="10" customFormat="false" ht="21.75" hidden="false" customHeight="true" outlineLevel="0" collapsed="false">
      <c r="B10" s="31" t="s">
        <v>68</v>
      </c>
      <c r="C10" s="31"/>
      <c r="D10" s="31"/>
      <c r="E10" s="31"/>
      <c r="F10" s="31"/>
      <c r="G10" s="31"/>
      <c r="H10" s="31"/>
      <c r="I10" s="31"/>
      <c r="J10" s="31"/>
    </row>
    <row r="11" customFormat="false" ht="21.75" hidden="false" customHeight="true" outlineLevel="0" collapsed="false">
      <c r="B11" s="38" t="s">
        <v>69</v>
      </c>
      <c r="C11" s="39" t="s">
        <v>37</v>
      </c>
      <c r="D11" s="40" t="n">
        <v>1</v>
      </c>
      <c r="E11" s="41" t="n">
        <v>145000</v>
      </c>
      <c r="F11" s="42" t="n">
        <f aca="false">D11*E11</f>
        <v>145000</v>
      </c>
      <c r="G11" s="41" t="n">
        <v>7000</v>
      </c>
      <c r="H11" s="42" t="n">
        <f aca="false">D11*G11</f>
        <v>7000</v>
      </c>
      <c r="I11" s="41" t="n">
        <v>18000</v>
      </c>
      <c r="J11" s="43" t="n">
        <f aca="false">F11+H11+I11</f>
        <v>170000</v>
      </c>
    </row>
    <row r="12" customFormat="false" ht="21.75" hidden="false" customHeight="true" outlineLevel="0" collapsed="false">
      <c r="B12" s="38" t="s">
        <v>70</v>
      </c>
      <c r="C12" s="39" t="s">
        <v>37</v>
      </c>
      <c r="D12" s="40" t="n">
        <v>1</v>
      </c>
      <c r="E12" s="41" t="n">
        <v>35000</v>
      </c>
      <c r="F12" s="42" t="n">
        <f aca="false">D12*E12</f>
        <v>35000</v>
      </c>
      <c r="G12" s="41" t="n">
        <v>0</v>
      </c>
      <c r="H12" s="42" t="n">
        <f aca="false">D12*G12</f>
        <v>0</v>
      </c>
      <c r="I12" s="41" t="n">
        <v>3000</v>
      </c>
      <c r="J12" s="43" t="n">
        <f aca="false">F12+H12+I12</f>
        <v>38000</v>
      </c>
    </row>
    <row r="13" customFormat="false" ht="21.75" hidden="false" customHeight="true" outlineLevel="0" collapsed="false">
      <c r="B13" s="31" t="s">
        <v>71</v>
      </c>
      <c r="C13" s="31"/>
      <c r="D13" s="31"/>
      <c r="E13" s="31"/>
      <c r="F13" s="31"/>
      <c r="G13" s="31"/>
      <c r="H13" s="31"/>
      <c r="I13" s="31"/>
      <c r="J13" s="31"/>
    </row>
    <row r="14" customFormat="false" ht="21.75" hidden="false" customHeight="true" outlineLevel="0" collapsed="false">
      <c r="B14" s="44" t="s">
        <v>72</v>
      </c>
      <c r="C14" s="45" t="s">
        <v>73</v>
      </c>
      <c r="D14" s="46" t="n">
        <v>1</v>
      </c>
      <c r="E14" s="47" t="n">
        <v>85000</v>
      </c>
      <c r="F14" s="48" t="n">
        <f aca="false">D14*E14</f>
        <v>85000</v>
      </c>
      <c r="G14" s="47" t="n">
        <v>6000</v>
      </c>
      <c r="H14" s="48" t="n">
        <f aca="false">D14*G14</f>
        <v>6000</v>
      </c>
      <c r="I14" s="47" t="n">
        <v>12000</v>
      </c>
      <c r="J14" s="49" t="n">
        <f aca="false">F14+H14+I14</f>
        <v>103000</v>
      </c>
    </row>
    <row r="15" customFormat="false" ht="21.75" hidden="false" customHeight="true" outlineLevel="0" collapsed="false">
      <c r="B15" s="44" t="s">
        <v>74</v>
      </c>
      <c r="C15" s="45" t="s">
        <v>73</v>
      </c>
      <c r="D15" s="46" t="n">
        <v>1</v>
      </c>
      <c r="E15" s="47" t="n">
        <v>85000</v>
      </c>
      <c r="F15" s="48" t="n">
        <f aca="false">D15*E15</f>
        <v>85000</v>
      </c>
      <c r="G15" s="47" t="n">
        <v>6000</v>
      </c>
      <c r="H15" s="48" t="n">
        <f aca="false">D15*G15</f>
        <v>6000</v>
      </c>
      <c r="I15" s="47" t="n">
        <v>12000</v>
      </c>
      <c r="J15" s="49" t="n">
        <f aca="false">F15+H15+I15</f>
        <v>103000</v>
      </c>
    </row>
    <row r="16" customFormat="false" ht="21.75" hidden="false" customHeight="true" outlineLevel="0" collapsed="false">
      <c r="B16" s="31" t="s">
        <v>75</v>
      </c>
      <c r="C16" s="31"/>
      <c r="D16" s="31"/>
      <c r="E16" s="31"/>
      <c r="F16" s="31"/>
      <c r="G16" s="31"/>
      <c r="H16" s="31"/>
      <c r="I16" s="31"/>
      <c r="J16" s="31"/>
    </row>
    <row r="17" customFormat="false" ht="21.75" hidden="false" customHeight="true" outlineLevel="0" collapsed="false">
      <c r="B17" s="50" t="s">
        <v>76</v>
      </c>
      <c r="C17" s="51" t="s">
        <v>73</v>
      </c>
      <c r="D17" s="52" t="n">
        <v>1</v>
      </c>
      <c r="E17" s="53" t="n">
        <v>115000</v>
      </c>
      <c r="F17" s="54" t="n">
        <f aca="false">D17*E17</f>
        <v>115000</v>
      </c>
      <c r="G17" s="53" t="n">
        <v>7000</v>
      </c>
      <c r="H17" s="54" t="n">
        <f aca="false">D17*G17</f>
        <v>7000</v>
      </c>
      <c r="I17" s="53" t="n">
        <v>15000</v>
      </c>
      <c r="J17" s="55" t="n">
        <f aca="false">F17+H17+I17</f>
        <v>137000</v>
      </c>
    </row>
    <row r="18" customFormat="false" ht="21.75" hidden="false" customHeight="true" outlineLevel="0" collapsed="false">
      <c r="B18" s="50" t="s">
        <v>77</v>
      </c>
      <c r="C18" s="51" t="s">
        <v>73</v>
      </c>
      <c r="D18" s="52" t="n">
        <v>1</v>
      </c>
      <c r="E18" s="53" t="n">
        <v>28000</v>
      </c>
      <c r="F18" s="54" t="n">
        <f aca="false">D18*E18</f>
        <v>28000</v>
      </c>
      <c r="G18" s="53" t="n">
        <v>0</v>
      </c>
      <c r="H18" s="54" t="n">
        <f aca="false">D18*G18</f>
        <v>0</v>
      </c>
      <c r="I18" s="53" t="n">
        <v>4000</v>
      </c>
      <c r="J18" s="55" t="n">
        <f aca="false">F18+H18+I18</f>
        <v>32000</v>
      </c>
    </row>
    <row r="19" customFormat="false" ht="21.75" hidden="false" customHeight="true" outlineLevel="0" collapsed="false">
      <c r="B19" s="31" t="s">
        <v>78</v>
      </c>
      <c r="C19" s="31"/>
      <c r="D19" s="31"/>
      <c r="E19" s="31"/>
      <c r="F19" s="31"/>
      <c r="G19" s="31"/>
      <c r="H19" s="31"/>
      <c r="I19" s="31"/>
      <c r="J19" s="31"/>
    </row>
    <row r="20" customFormat="false" ht="21.75" hidden="false" customHeight="true" outlineLevel="0" collapsed="false">
      <c r="B20" s="56" t="s">
        <v>79</v>
      </c>
      <c r="C20" s="57" t="s">
        <v>40</v>
      </c>
      <c r="D20" s="58" t="n">
        <v>1</v>
      </c>
      <c r="E20" s="59" t="n">
        <v>75000</v>
      </c>
      <c r="F20" s="60" t="n">
        <f aca="false">D20*E20</f>
        <v>75000</v>
      </c>
      <c r="G20" s="59" t="n">
        <v>6000</v>
      </c>
      <c r="H20" s="60" t="n">
        <f aca="false">D20*G20</f>
        <v>6000</v>
      </c>
      <c r="I20" s="59" t="n">
        <v>10000</v>
      </c>
      <c r="J20" s="61" t="n">
        <f aca="false">F20+H20+I20</f>
        <v>91000</v>
      </c>
    </row>
    <row r="21" customFormat="false" ht="21.75" hidden="false" customHeight="true" outlineLevel="0" collapsed="false">
      <c r="B21" s="56" t="s">
        <v>80</v>
      </c>
      <c r="C21" s="57" t="s">
        <v>40</v>
      </c>
      <c r="D21" s="58" t="n">
        <v>1</v>
      </c>
      <c r="E21" s="59" t="n">
        <v>55000</v>
      </c>
      <c r="F21" s="60" t="n">
        <f aca="false">D21*E21</f>
        <v>55000</v>
      </c>
      <c r="G21" s="59" t="n">
        <v>5000</v>
      </c>
      <c r="H21" s="60" t="n">
        <f aca="false">D21*G21</f>
        <v>5000</v>
      </c>
      <c r="I21" s="59" t="n">
        <v>8000</v>
      </c>
      <c r="J21" s="61" t="n">
        <f aca="false">F21+H21+I21</f>
        <v>68000</v>
      </c>
    </row>
    <row r="22" customFormat="false" ht="21.75" hidden="false" customHeight="true" outlineLevel="0" collapsed="false">
      <c r="B22" s="56" t="s">
        <v>81</v>
      </c>
      <c r="C22" s="57" t="s">
        <v>40</v>
      </c>
      <c r="D22" s="58" t="n">
        <v>1</v>
      </c>
      <c r="E22" s="59" t="n">
        <v>55000</v>
      </c>
      <c r="F22" s="60" t="n">
        <f aca="false">D22*E22</f>
        <v>55000</v>
      </c>
      <c r="G22" s="59" t="n">
        <v>5000</v>
      </c>
      <c r="H22" s="60" t="n">
        <f aca="false">D22*G22</f>
        <v>5000</v>
      </c>
      <c r="I22" s="59" t="n">
        <v>8000</v>
      </c>
      <c r="J22" s="61" t="n">
        <f aca="false">F22+H22+I22</f>
        <v>68000</v>
      </c>
    </row>
    <row r="23" customFormat="false" ht="21.75" hidden="false" customHeight="true" outlineLevel="0" collapsed="false">
      <c r="B23" s="31" t="s">
        <v>82</v>
      </c>
      <c r="C23" s="31"/>
      <c r="D23" s="31"/>
      <c r="E23" s="31"/>
      <c r="F23" s="31"/>
      <c r="G23" s="31"/>
      <c r="H23" s="31"/>
      <c r="I23" s="31"/>
      <c r="J23" s="31"/>
    </row>
    <row r="24" customFormat="false" ht="21.75" hidden="false" customHeight="true" outlineLevel="0" collapsed="false">
      <c r="B24" s="62" t="s">
        <v>83</v>
      </c>
      <c r="C24" s="63" t="s">
        <v>60</v>
      </c>
      <c r="D24" s="64" t="n">
        <v>1</v>
      </c>
      <c r="E24" s="65" t="n">
        <v>120000</v>
      </c>
      <c r="F24" s="66" t="n">
        <f aca="false">D24*E24</f>
        <v>120000</v>
      </c>
      <c r="G24" s="65" t="n">
        <v>8000</v>
      </c>
      <c r="H24" s="66" t="n">
        <f aca="false">D24*G24</f>
        <v>8000</v>
      </c>
      <c r="I24" s="65" t="n">
        <v>15000</v>
      </c>
      <c r="J24" s="67" t="n">
        <f aca="false">F24+H24+I24</f>
        <v>143000</v>
      </c>
    </row>
    <row r="25" customFormat="false" ht="21.75" hidden="false" customHeight="true" outlineLevel="0" collapsed="false">
      <c r="B25" s="31" t="s">
        <v>84</v>
      </c>
      <c r="C25" s="31"/>
      <c r="D25" s="31"/>
      <c r="E25" s="31"/>
      <c r="F25" s="31"/>
      <c r="G25" s="31"/>
      <c r="H25" s="31"/>
      <c r="I25" s="31"/>
      <c r="J25" s="31"/>
    </row>
    <row r="26" customFormat="false" ht="21.75" hidden="false" customHeight="true" outlineLevel="0" collapsed="false">
      <c r="B26" s="32" t="s">
        <v>85</v>
      </c>
      <c r="C26" s="33" t="s">
        <v>86</v>
      </c>
      <c r="D26" s="34" t="n">
        <v>1</v>
      </c>
      <c r="E26" s="35" t="n">
        <v>95000</v>
      </c>
      <c r="F26" s="36" t="n">
        <f aca="false">D26*E26</f>
        <v>95000</v>
      </c>
      <c r="G26" s="35" t="n">
        <v>0</v>
      </c>
      <c r="H26" s="36" t="n">
        <f aca="false">D26*G26</f>
        <v>0</v>
      </c>
      <c r="I26" s="35" t="n">
        <v>10000</v>
      </c>
      <c r="J26" s="37" t="n">
        <f aca="false">F26+H26+I26</f>
        <v>105000</v>
      </c>
    </row>
    <row r="27" customFormat="false" ht="21.75" hidden="false" customHeight="true" outlineLevel="0" collapsed="false">
      <c r="B27" s="32" t="s">
        <v>87</v>
      </c>
      <c r="C27" s="33" t="s">
        <v>86</v>
      </c>
      <c r="D27" s="34" t="n">
        <v>1</v>
      </c>
      <c r="E27" s="35" t="n">
        <v>42000</v>
      </c>
      <c r="F27" s="36" t="n">
        <f aca="false">D27*E27</f>
        <v>42000</v>
      </c>
      <c r="G27" s="35" t="n">
        <v>0</v>
      </c>
      <c r="H27" s="36" t="n">
        <f aca="false">D27*G27</f>
        <v>0</v>
      </c>
      <c r="I27" s="35" t="n">
        <v>5000</v>
      </c>
      <c r="J27" s="37" t="n">
        <f aca="false">F27+H27+I27</f>
        <v>47000</v>
      </c>
    </row>
    <row r="28" customFormat="false" ht="21.75" hidden="false" customHeight="true" outlineLevel="0" collapsed="false">
      <c r="B28" s="31" t="s">
        <v>88</v>
      </c>
      <c r="C28" s="31"/>
      <c r="D28" s="31"/>
      <c r="E28" s="31"/>
      <c r="F28" s="31"/>
      <c r="G28" s="31"/>
      <c r="H28" s="31"/>
      <c r="I28" s="31"/>
      <c r="J28" s="31"/>
    </row>
    <row r="29" customFormat="false" ht="21.75" hidden="false" customHeight="true" outlineLevel="0" collapsed="false">
      <c r="B29" s="38" t="s">
        <v>89</v>
      </c>
      <c r="C29" s="39" t="s">
        <v>60</v>
      </c>
      <c r="D29" s="40" t="n">
        <v>2</v>
      </c>
      <c r="E29" s="41" t="n">
        <v>55000</v>
      </c>
      <c r="F29" s="42" t="n">
        <f aca="false">D29*E29</f>
        <v>110000</v>
      </c>
      <c r="G29" s="41" t="n">
        <v>3000</v>
      </c>
      <c r="H29" s="42" t="n">
        <f aca="false">D29*G29</f>
        <v>6000</v>
      </c>
      <c r="I29" s="41" t="n">
        <v>5000</v>
      </c>
      <c r="J29" s="43" t="n">
        <f aca="false">F29+H29+I29</f>
        <v>121000</v>
      </c>
    </row>
    <row r="30" customFormat="false" ht="21.75" hidden="false" customHeight="true" outlineLevel="0" collapsed="false">
      <c r="B30" s="38" t="s">
        <v>90</v>
      </c>
      <c r="C30" s="39" t="s">
        <v>60</v>
      </c>
      <c r="D30" s="40" t="n">
        <v>1</v>
      </c>
      <c r="E30" s="41" t="n">
        <v>85000</v>
      </c>
      <c r="F30" s="42" t="n">
        <f aca="false">D30*E30</f>
        <v>85000</v>
      </c>
      <c r="G30" s="41" t="n">
        <v>8000</v>
      </c>
      <c r="H30" s="42" t="n">
        <f aca="false">D30*G30</f>
        <v>8000</v>
      </c>
      <c r="I30" s="41" t="n">
        <v>10000</v>
      </c>
      <c r="J30" s="43" t="n">
        <f aca="false">F30+H30+I30</f>
        <v>103000</v>
      </c>
    </row>
    <row r="31" customFormat="false" ht="21.75" hidden="false" customHeight="true" outlineLevel="0" collapsed="false">
      <c r="B31" s="38" t="s">
        <v>91</v>
      </c>
      <c r="C31" s="39" t="s">
        <v>60</v>
      </c>
      <c r="D31" s="40" t="n">
        <v>4</v>
      </c>
      <c r="E31" s="41" t="n">
        <v>12000</v>
      </c>
      <c r="F31" s="42" t="n">
        <f aca="false">D31*E31</f>
        <v>48000</v>
      </c>
      <c r="G31" s="41" t="n">
        <v>2000</v>
      </c>
      <c r="H31" s="42" t="n">
        <f aca="false">D31*G31</f>
        <v>8000</v>
      </c>
      <c r="I31" s="41" t="n">
        <v>0</v>
      </c>
      <c r="J31" s="43" t="n">
        <f aca="false">F31+H31+I31</f>
        <v>56000</v>
      </c>
    </row>
    <row r="32" customFormat="false" ht="24.75" hidden="false" customHeight="true" outlineLevel="0" collapsed="false">
      <c r="B32" s="68" t="s">
        <v>92</v>
      </c>
      <c r="C32" s="68"/>
      <c r="D32" s="68"/>
      <c r="E32" s="69" t="n">
        <f aca="false">SUM(E8:E31)</f>
        <v>1257000</v>
      </c>
      <c r="G32" s="69" t="n">
        <f aca="false">SUM(G8:G31)</f>
        <v>75000</v>
      </c>
      <c r="H32" s="69" t="n">
        <f aca="false">SUM(H8:H31)</f>
        <v>84000</v>
      </c>
      <c r="I32" s="69" t="n">
        <f aca="false">SUM(I8:I31)</f>
        <v>159000</v>
      </c>
      <c r="J32" s="69" t="n">
        <f aca="false">SUM(J8:J31)</f>
        <v>1591000</v>
      </c>
    </row>
  </sheetData>
  <mergeCells count="12">
    <mergeCell ref="A1:J1"/>
    <mergeCell ref="A2:J3"/>
    <mergeCell ref="A4:J4"/>
    <mergeCell ref="B7:J7"/>
    <mergeCell ref="B10:J10"/>
    <mergeCell ref="B13:J13"/>
    <mergeCell ref="B16:J16"/>
    <mergeCell ref="B19:J19"/>
    <mergeCell ref="B23:J23"/>
    <mergeCell ref="B25:J25"/>
    <mergeCell ref="B28:J28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4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28" t="s">
        <v>93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15" hidden="false" customHeight="true" outlineLevel="0" collapsed="false">
      <c r="A3" s="28"/>
      <c r="B3" s="28"/>
      <c r="C3" s="28"/>
      <c r="D3" s="28"/>
      <c r="E3" s="28"/>
      <c r="F3" s="28"/>
      <c r="G3" s="28"/>
      <c r="H3" s="28"/>
      <c r="I3" s="28"/>
      <c r="J3" s="28"/>
    </row>
    <row r="4" customFormat="false" ht="18" hidden="false" customHeight="true" outlineLevel="0" collapsed="false">
      <c r="A4" s="29" t="s">
        <v>94</v>
      </c>
      <c r="B4" s="29"/>
      <c r="C4" s="29"/>
      <c r="D4" s="29"/>
      <c r="E4" s="29"/>
      <c r="F4" s="29"/>
      <c r="G4" s="29"/>
      <c r="H4" s="29"/>
      <c r="I4" s="29"/>
      <c r="J4" s="29"/>
    </row>
    <row r="5" customFormat="false" ht="7.5" hidden="false" customHeight="true" outlineLevel="0" collapsed="false"/>
    <row r="6" customFormat="false" ht="30" hidden="false" customHeight="true" outlineLevel="0" collapsed="false">
      <c r="B6" s="30" t="s">
        <v>95</v>
      </c>
      <c r="C6" s="30" t="s">
        <v>96</v>
      </c>
      <c r="D6" s="30" t="s">
        <v>97</v>
      </c>
      <c r="E6" s="30" t="s">
        <v>98</v>
      </c>
      <c r="F6" s="30" t="s">
        <v>26</v>
      </c>
    </row>
    <row r="7" customFormat="false" ht="21.75" hidden="false" customHeight="true" outlineLevel="0" collapsed="false">
      <c r="B7" s="31" t="s">
        <v>99</v>
      </c>
      <c r="C7" s="31"/>
      <c r="D7" s="31"/>
      <c r="E7" s="31"/>
      <c r="F7" s="31"/>
    </row>
    <row r="8" customFormat="false" ht="21.75" hidden="false" customHeight="true" outlineLevel="0" collapsed="false">
      <c r="B8" s="70" t="s">
        <v>100</v>
      </c>
      <c r="C8" s="71" t="s">
        <v>101</v>
      </c>
      <c r="D8" s="72" t="n">
        <v>5</v>
      </c>
      <c r="E8" s="35" t="n">
        <v>3500</v>
      </c>
      <c r="F8" s="37" t="n">
        <f aca="false">D8*E8</f>
        <v>17500</v>
      </c>
    </row>
    <row r="9" customFormat="false" ht="21.75" hidden="false" customHeight="true" outlineLevel="0" collapsed="false">
      <c r="B9" s="70" t="s">
        <v>102</v>
      </c>
      <c r="C9" s="71" t="s">
        <v>103</v>
      </c>
      <c r="D9" s="72" t="n">
        <v>8</v>
      </c>
      <c r="E9" s="35" t="n">
        <v>3500</v>
      </c>
      <c r="F9" s="37" t="n">
        <f aca="false">D9*E9</f>
        <v>28000</v>
      </c>
    </row>
    <row r="10" customFormat="false" ht="21.75" hidden="false" customHeight="true" outlineLevel="0" collapsed="false">
      <c r="B10" s="70" t="s">
        <v>104</v>
      </c>
      <c r="C10" s="71" t="s">
        <v>105</v>
      </c>
      <c r="D10" s="72" t="n">
        <v>6</v>
      </c>
      <c r="E10" s="35" t="n">
        <v>4000</v>
      </c>
      <c r="F10" s="37" t="n">
        <f aca="false">D10*E10</f>
        <v>24000</v>
      </c>
    </row>
    <row r="11" customFormat="false" ht="21.75" hidden="false" customHeight="true" outlineLevel="0" collapsed="false">
      <c r="B11" s="70" t="s">
        <v>106</v>
      </c>
      <c r="C11" s="71" t="s">
        <v>107</v>
      </c>
      <c r="D11" s="72" t="n">
        <v>4</v>
      </c>
      <c r="E11" s="35" t="n">
        <v>3500</v>
      </c>
      <c r="F11" s="37" t="n">
        <f aca="false">D11*E11</f>
        <v>14000</v>
      </c>
    </row>
    <row r="12" customFormat="false" ht="21.75" hidden="false" customHeight="true" outlineLevel="0" collapsed="false">
      <c r="B12" s="70" t="s">
        <v>108</v>
      </c>
      <c r="C12" s="71" t="s">
        <v>109</v>
      </c>
      <c r="D12" s="72" t="n">
        <v>5</v>
      </c>
      <c r="E12" s="35" t="n">
        <v>3000</v>
      </c>
      <c r="F12" s="37" t="n">
        <f aca="false">D12*E12</f>
        <v>15000</v>
      </c>
    </row>
    <row r="13" customFormat="false" ht="21.75" hidden="false" customHeight="true" outlineLevel="0" collapsed="false">
      <c r="B13" s="31" t="s">
        <v>110</v>
      </c>
      <c r="C13" s="31"/>
      <c r="D13" s="31"/>
      <c r="E13" s="31"/>
      <c r="F13" s="31"/>
    </row>
    <row r="14" customFormat="false" ht="21.75" hidden="false" customHeight="true" outlineLevel="0" collapsed="false">
      <c r="B14" s="73" t="s">
        <v>111</v>
      </c>
      <c r="C14" s="74" t="s">
        <v>112</v>
      </c>
      <c r="D14" s="75" t="n">
        <v>15</v>
      </c>
      <c r="E14" s="41" t="n">
        <v>4500</v>
      </c>
      <c r="F14" s="43" t="n">
        <f aca="false">D14*E14</f>
        <v>67500</v>
      </c>
    </row>
    <row r="15" customFormat="false" ht="21.75" hidden="false" customHeight="true" outlineLevel="0" collapsed="false">
      <c r="B15" s="73" t="s">
        <v>113</v>
      </c>
      <c r="C15" s="74" t="s">
        <v>114</v>
      </c>
      <c r="D15" s="75" t="n">
        <v>20</v>
      </c>
      <c r="E15" s="41" t="n">
        <v>4000</v>
      </c>
      <c r="F15" s="43" t="n">
        <f aca="false">D15*E15</f>
        <v>80000</v>
      </c>
    </row>
    <row r="16" customFormat="false" ht="21.75" hidden="false" customHeight="true" outlineLevel="0" collapsed="false">
      <c r="B16" s="73" t="s">
        <v>115</v>
      </c>
      <c r="C16" s="74" t="s">
        <v>116</v>
      </c>
      <c r="D16" s="75" t="n">
        <v>18</v>
      </c>
      <c r="E16" s="41" t="n">
        <v>4500</v>
      </c>
      <c r="F16" s="43" t="n">
        <f aca="false">D16*E16</f>
        <v>81000</v>
      </c>
    </row>
    <row r="17" customFormat="false" ht="21.75" hidden="false" customHeight="true" outlineLevel="0" collapsed="false">
      <c r="B17" s="73" t="s">
        <v>117</v>
      </c>
      <c r="C17" s="74" t="s">
        <v>118</v>
      </c>
      <c r="D17" s="75" t="n">
        <v>15</v>
      </c>
      <c r="E17" s="41" t="n">
        <v>3500</v>
      </c>
      <c r="F17" s="43" t="n">
        <f aca="false">D17*E17</f>
        <v>52500</v>
      </c>
    </row>
    <row r="18" customFormat="false" ht="21.75" hidden="false" customHeight="true" outlineLevel="0" collapsed="false">
      <c r="B18" s="73" t="s">
        <v>119</v>
      </c>
      <c r="C18" s="74" t="s">
        <v>120</v>
      </c>
      <c r="D18" s="75" t="n">
        <v>10</v>
      </c>
      <c r="E18" s="41" t="n">
        <v>2500</v>
      </c>
      <c r="F18" s="43" t="n">
        <f aca="false">D18*E18</f>
        <v>25000</v>
      </c>
    </row>
    <row r="19" customFormat="false" ht="21.75" hidden="false" customHeight="true" outlineLevel="0" collapsed="false">
      <c r="B19" s="31" t="s">
        <v>121</v>
      </c>
      <c r="C19" s="31"/>
      <c r="D19" s="31"/>
      <c r="E19" s="31"/>
      <c r="F19" s="31"/>
    </row>
    <row r="20" customFormat="false" ht="21.75" hidden="false" customHeight="true" outlineLevel="0" collapsed="false">
      <c r="B20" s="76" t="s">
        <v>122</v>
      </c>
      <c r="C20" s="77" t="s">
        <v>123</v>
      </c>
      <c r="D20" s="78" t="n">
        <v>5</v>
      </c>
      <c r="E20" s="47" t="n">
        <v>3500</v>
      </c>
      <c r="F20" s="49" t="n">
        <f aca="false">D20*E20</f>
        <v>17500</v>
      </c>
    </row>
    <row r="21" customFormat="false" ht="21.75" hidden="false" customHeight="true" outlineLevel="0" collapsed="false">
      <c r="B21" s="76" t="s">
        <v>124</v>
      </c>
      <c r="C21" s="77" t="s">
        <v>125</v>
      </c>
      <c r="D21" s="78" t="n">
        <v>8</v>
      </c>
      <c r="E21" s="47" t="n">
        <v>5000</v>
      </c>
      <c r="F21" s="49" t="n">
        <f aca="false">D21*E21</f>
        <v>40000</v>
      </c>
    </row>
    <row r="22" customFormat="false" ht="21.75" hidden="false" customHeight="true" outlineLevel="0" collapsed="false">
      <c r="B22" s="76" t="s">
        <v>126</v>
      </c>
      <c r="C22" s="77" t="s">
        <v>127</v>
      </c>
      <c r="D22" s="78" t="n">
        <v>5</v>
      </c>
      <c r="E22" s="47" t="n">
        <v>4000</v>
      </c>
      <c r="F22" s="49" t="n">
        <f aca="false">D22*E22</f>
        <v>20000</v>
      </c>
    </row>
    <row r="23" customFormat="false" ht="21.75" hidden="false" customHeight="true" outlineLevel="0" collapsed="false">
      <c r="B23" s="76" t="s">
        <v>128</v>
      </c>
      <c r="C23" s="77" t="s">
        <v>129</v>
      </c>
      <c r="D23" s="78" t="n">
        <v>4</v>
      </c>
      <c r="E23" s="47" t="n">
        <v>3500</v>
      </c>
      <c r="F23" s="49" t="n">
        <f aca="false">D23*E23</f>
        <v>14000</v>
      </c>
    </row>
    <row r="24" customFormat="false" ht="21.75" hidden="false" customHeight="true" outlineLevel="0" collapsed="false">
      <c r="B24" s="31" t="s">
        <v>130</v>
      </c>
      <c r="C24" s="31"/>
      <c r="D24" s="31"/>
      <c r="E24" s="31"/>
      <c r="F24" s="31"/>
    </row>
    <row r="25" customFormat="false" ht="21.75" hidden="false" customHeight="true" outlineLevel="0" collapsed="false">
      <c r="B25" s="79" t="s">
        <v>131</v>
      </c>
      <c r="C25" s="80" t="s">
        <v>132</v>
      </c>
      <c r="D25" s="81" t="n">
        <v>8</v>
      </c>
      <c r="E25" s="53" t="n">
        <v>3000</v>
      </c>
      <c r="F25" s="55" t="n">
        <f aca="false">D25*E25</f>
        <v>24000</v>
      </c>
    </row>
    <row r="26" customFormat="false" ht="21.75" hidden="false" customHeight="true" outlineLevel="0" collapsed="false">
      <c r="B26" s="79" t="s">
        <v>133</v>
      </c>
      <c r="C26" s="80" t="s">
        <v>134</v>
      </c>
      <c r="D26" s="81" t="n">
        <v>2</v>
      </c>
      <c r="E26" s="53" t="n">
        <v>5000</v>
      </c>
      <c r="F26" s="55" t="n">
        <f aca="false">D26*E26</f>
        <v>10000</v>
      </c>
    </row>
    <row r="27" customFormat="false" ht="21.75" hidden="false" customHeight="true" outlineLevel="0" collapsed="false">
      <c r="B27" s="79" t="s">
        <v>135</v>
      </c>
      <c r="C27" s="80" t="s">
        <v>136</v>
      </c>
      <c r="D27" s="81" t="n">
        <v>3</v>
      </c>
      <c r="E27" s="53" t="n">
        <v>5000</v>
      </c>
      <c r="F27" s="55" t="n">
        <f aca="false">D27*E27</f>
        <v>15000</v>
      </c>
    </row>
    <row r="28" customFormat="false" ht="21.75" hidden="false" customHeight="true" outlineLevel="0" collapsed="false">
      <c r="B28" s="31" t="s">
        <v>137</v>
      </c>
      <c r="C28" s="31"/>
      <c r="D28" s="31"/>
      <c r="E28" s="31"/>
      <c r="F28" s="31"/>
    </row>
    <row r="29" customFormat="false" ht="21.75" hidden="false" customHeight="true" outlineLevel="0" collapsed="false">
      <c r="B29" s="82" t="s">
        <v>138</v>
      </c>
      <c r="C29" s="83" t="s">
        <v>139</v>
      </c>
      <c r="D29" s="84" t="n">
        <v>22</v>
      </c>
      <c r="E29" s="59" t="n">
        <v>3500</v>
      </c>
      <c r="F29" s="61" t="n">
        <f aca="false">D29*E29</f>
        <v>77000</v>
      </c>
    </row>
    <row r="30" customFormat="false" ht="21.75" hidden="false" customHeight="true" outlineLevel="0" collapsed="false">
      <c r="B30" s="82" t="s">
        <v>140</v>
      </c>
      <c r="C30" s="83" t="s">
        <v>141</v>
      </c>
      <c r="D30" s="84" t="n">
        <v>12</v>
      </c>
      <c r="E30" s="59" t="n">
        <v>3000</v>
      </c>
      <c r="F30" s="61" t="n">
        <f aca="false">D30*E30</f>
        <v>36000</v>
      </c>
    </row>
    <row r="31" customFormat="false" ht="24.75" hidden="false" customHeight="true" outlineLevel="0" collapsed="false">
      <c r="B31" s="68" t="s">
        <v>142</v>
      </c>
      <c r="C31" s="68"/>
      <c r="D31" s="68"/>
      <c r="E31" s="69" t="n">
        <f aca="false">SUM(E8:E30)</f>
        <v>72000</v>
      </c>
      <c r="F31" s="69" t="n">
        <f aca="false">SUM(F8:F30)</f>
        <v>658000</v>
      </c>
    </row>
  </sheetData>
  <mergeCells count="9">
    <mergeCell ref="A1:J1"/>
    <mergeCell ref="A2:J3"/>
    <mergeCell ref="A4:J4"/>
    <mergeCell ref="B7:F7"/>
    <mergeCell ref="B13:F13"/>
    <mergeCell ref="B19:F19"/>
    <mergeCell ref="B24:F24"/>
    <mergeCell ref="B28:F28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6" min="3" style="1" width="22"/>
    <col collapsed="false" customWidth="true" hidden="false" outlineLevel="0" max="7" min="7" style="1" width="4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28" t="s">
        <v>143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15" hidden="false" customHeight="true" outlineLevel="0" collapsed="false">
      <c r="A3" s="28"/>
      <c r="B3" s="28"/>
      <c r="C3" s="28"/>
      <c r="D3" s="28"/>
      <c r="E3" s="28"/>
      <c r="F3" s="28"/>
      <c r="G3" s="28"/>
      <c r="H3" s="28"/>
      <c r="I3" s="28"/>
      <c r="J3" s="28"/>
    </row>
    <row r="4" customFormat="false" ht="18" hidden="false" customHeight="true" outlineLevel="0" collapsed="false">
      <c r="A4" s="29" t="s">
        <v>144</v>
      </c>
      <c r="B4" s="29"/>
      <c r="C4" s="29"/>
      <c r="D4" s="29"/>
      <c r="E4" s="29"/>
      <c r="F4" s="29"/>
      <c r="G4" s="29"/>
      <c r="H4" s="29"/>
      <c r="I4" s="29"/>
      <c r="J4" s="29"/>
    </row>
    <row r="5" customFormat="false" ht="7.5" hidden="false" customHeight="true" outlineLevel="0" collapsed="false"/>
    <row r="6" customFormat="false" ht="30" hidden="false" customHeight="true" outlineLevel="0" collapsed="false">
      <c r="B6" s="85" t="s">
        <v>3</v>
      </c>
      <c r="C6" s="85" t="s">
        <v>145</v>
      </c>
      <c r="D6" s="85" t="s">
        <v>146</v>
      </c>
      <c r="E6" s="85" t="s">
        <v>25</v>
      </c>
      <c r="F6" s="85" t="s">
        <v>26</v>
      </c>
    </row>
    <row r="7" customFormat="false" ht="24.75" hidden="false" customHeight="true" outlineLevel="0" collapsed="false">
      <c r="B7" s="86" t="s">
        <v>147</v>
      </c>
      <c r="C7" s="87" t="n">
        <f aca="false">'🌐 Équipements Réseau'!E34</f>
        <v>771500</v>
      </c>
      <c r="D7" s="87" t="n">
        <f aca="false">'🌐 Équipements Réseau'!G34</f>
        <v>63500</v>
      </c>
      <c r="E7" s="87" t="n">
        <f aca="false">'🌐 Équipements Réseau'!I34</f>
        <v>101500</v>
      </c>
      <c r="F7" s="88" t="n">
        <f aca="false">C7+D7+E7</f>
        <v>936500</v>
      </c>
    </row>
    <row r="8" customFormat="false" ht="24.75" hidden="false" customHeight="true" outlineLevel="0" collapsed="false">
      <c r="B8" s="89" t="s">
        <v>10</v>
      </c>
      <c r="C8" s="90" t="n">
        <f aca="false">'🖥️ Serveurs &amp; Infrastructure'!E32</f>
        <v>1257000</v>
      </c>
      <c r="D8" s="90" t="n">
        <f aca="false">'🖥️ Serveurs &amp; Infrastructure'!G32</f>
        <v>75000</v>
      </c>
      <c r="E8" s="90" t="n">
        <f aca="false">'🖥️ Serveurs &amp; Infrastructure'!I32</f>
        <v>159000</v>
      </c>
      <c r="F8" s="91" t="n">
        <f aca="false">C8+D8+E8</f>
        <v>1491000</v>
      </c>
    </row>
    <row r="9" customFormat="false" ht="24.75" hidden="false" customHeight="true" outlineLevel="0" collapsed="false">
      <c r="B9" s="92" t="s">
        <v>148</v>
      </c>
      <c r="C9" s="93" t="n">
        <v>0</v>
      </c>
      <c r="D9" s="93" t="n">
        <v>0</v>
      </c>
      <c r="E9" s="93" t="n">
        <f aca="false">'📐 Étude &amp; Ingénierie'!F31</f>
        <v>658000</v>
      </c>
      <c r="F9" s="94" t="n">
        <f aca="false">C9+D9+E9</f>
        <v>658000</v>
      </c>
    </row>
    <row r="11" customFormat="false" ht="27.75" hidden="false" customHeight="true" outlineLevel="0" collapsed="false">
      <c r="B11" s="95" t="s">
        <v>149</v>
      </c>
      <c r="C11" s="95"/>
      <c r="D11" s="95"/>
      <c r="E11" s="95"/>
      <c r="F11" s="96" t="n">
        <f aca="false">SUM(F7:F9)</f>
        <v>3085500</v>
      </c>
    </row>
    <row r="12" customFormat="false" ht="21.75" hidden="false" customHeight="true" outlineLevel="0" collapsed="false">
      <c r="B12" s="97" t="s">
        <v>150</v>
      </c>
      <c r="C12" s="97"/>
      <c r="D12" s="97"/>
      <c r="E12" s="97"/>
      <c r="F12" s="98" t="n">
        <f aca="false">F11*0.2</f>
        <v>617100</v>
      </c>
    </row>
    <row r="13" customFormat="false" ht="21.75" hidden="false" customHeight="true" outlineLevel="0" collapsed="false">
      <c r="B13" s="99" t="s">
        <v>151</v>
      </c>
      <c r="C13" s="99"/>
      <c r="D13" s="99"/>
      <c r="E13" s="99"/>
      <c r="F13" s="100" t="n">
        <f aca="false">F11*0.1</f>
        <v>308550</v>
      </c>
    </row>
    <row r="15" customFormat="false" ht="34.5" hidden="false" customHeight="true" outlineLevel="0" collapsed="false">
      <c r="B15" s="101" t="s">
        <v>152</v>
      </c>
      <c r="C15" s="101"/>
      <c r="D15" s="101"/>
      <c r="E15" s="101"/>
      <c r="F15" s="102" t="n">
        <f aca="false">F11+F12+F13</f>
        <v>4011150</v>
      </c>
    </row>
    <row r="18" customFormat="false" ht="19.5" hidden="false" customHeight="true" outlineLevel="0" collapsed="false">
      <c r="B18" s="103" t="s">
        <v>153</v>
      </c>
      <c r="C18" s="103"/>
      <c r="D18" s="103"/>
      <c r="E18" s="103"/>
      <c r="F18" s="103"/>
    </row>
    <row r="19" customFormat="false" ht="19.5" hidden="false" customHeight="true" outlineLevel="0" collapsed="false">
      <c r="B19" s="104" t="s">
        <v>154</v>
      </c>
      <c r="C19" s="104"/>
      <c r="D19" s="104"/>
      <c r="E19" s="105" t="s">
        <v>155</v>
      </c>
      <c r="F19" s="105"/>
    </row>
    <row r="20" customFormat="false" ht="19.5" hidden="false" customHeight="true" outlineLevel="0" collapsed="false">
      <c r="B20" s="104" t="s">
        <v>156</v>
      </c>
      <c r="C20" s="104"/>
      <c r="D20" s="104"/>
      <c r="E20" s="105" t="s">
        <v>157</v>
      </c>
      <c r="F20" s="105"/>
    </row>
    <row r="21" customFormat="false" ht="19.5" hidden="false" customHeight="true" outlineLevel="0" collapsed="false">
      <c r="B21" s="104" t="s">
        <v>158</v>
      </c>
      <c r="C21" s="104"/>
      <c r="D21" s="104"/>
      <c r="E21" s="105" t="s">
        <v>159</v>
      </c>
      <c r="F21" s="105"/>
    </row>
    <row r="22" customFormat="false" ht="19.5" hidden="false" customHeight="true" outlineLevel="0" collapsed="false">
      <c r="B22" s="104" t="s">
        <v>160</v>
      </c>
      <c r="C22" s="104"/>
      <c r="D22" s="104"/>
      <c r="E22" s="105" t="s">
        <v>155</v>
      </c>
      <c r="F22" s="105"/>
    </row>
    <row r="23" customFormat="false" ht="19.5" hidden="false" customHeight="true" outlineLevel="0" collapsed="false">
      <c r="B23" s="104" t="s">
        <v>161</v>
      </c>
      <c r="C23" s="104"/>
      <c r="D23" s="104"/>
      <c r="E23" s="105" t="s">
        <v>162</v>
      </c>
      <c r="F23" s="105"/>
    </row>
    <row r="24" customFormat="false" ht="19.5" hidden="false" customHeight="true" outlineLevel="0" collapsed="false">
      <c r="B24" s="106" t="s">
        <v>163</v>
      </c>
      <c r="C24" s="106"/>
      <c r="D24" s="106"/>
      <c r="E24" s="107" t="s">
        <v>164</v>
      </c>
      <c r="F24" s="107"/>
    </row>
  </sheetData>
  <mergeCells count="20">
    <mergeCell ref="A1:J1"/>
    <mergeCell ref="A2:J3"/>
    <mergeCell ref="A4:J4"/>
    <mergeCell ref="B11:E11"/>
    <mergeCell ref="B12:E12"/>
    <mergeCell ref="B13:E13"/>
    <mergeCell ref="B15:E15"/>
    <mergeCell ref="B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2026-04-13T23:38:43Z</dcterms:created>
  <dc:creator>openpyxl</dc:creator>
  <dc:description/>
  <dc:language>en-US</dc:language>
  <cp:lastModifiedBy/>
  <dcterms:modified xsi:type="dcterms:W3CDTF">2026-04-13T23:54:05Z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